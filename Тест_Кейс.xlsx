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sers\User\Downloads\"/>
    </mc:Choice>
  </mc:AlternateContent>
  <xr:revisionPtr revIDLastSave="0" documentId="13_ncr:1_{CD6790D1-0D35-407B-8207-2C588C3CEA40}" xr6:coauthVersionLast="45" xr6:coauthVersionMax="45" xr10:uidLastSave="{00000000-0000-0000-0000-000000000000}"/>
  <bookViews>
    <workbookView xWindow="-120" yWindow="-120" windowWidth="20730" windowHeight="11160" xr2:uid="{0CB0B1E6-A228-4662-ABD4-59944B7B69E6}"/>
  </bookViews>
  <sheets>
    <sheet name="Тест-кейс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" i="1" l="1"/>
  <c r="D10" i="1"/>
  <c r="E10" i="1"/>
  <c r="F10" i="1"/>
  <c r="A13" i="1"/>
  <c r="A14" i="1" l="1"/>
  <c r="A10" i="1" s="1"/>
  <c r="H10" i="1" s="1"/>
</calcChain>
</file>

<file path=xl/sharedStrings.xml><?xml version="1.0" encoding="utf-8"?>
<sst xmlns="http://schemas.openxmlformats.org/spreadsheetml/2006/main" count="37" uniqueCount="33">
  <si>
    <t>x</t>
  </si>
  <si>
    <t>№ дефекта</t>
  </si>
  <si>
    <t>Фактический результат</t>
  </si>
  <si>
    <t>N/A</t>
  </si>
  <si>
    <t>Fail</t>
  </si>
  <si>
    <t>Pass</t>
  </si>
  <si>
    <t>Ожидаемый результат</t>
  </si>
  <si>
    <t>Действие</t>
  </si>
  <si>
    <t>Шаг</t>
  </si>
  <si>
    <t>% Complete:</t>
  </si>
  <si>
    <t>Число шагов по статусам:</t>
  </si>
  <si>
    <t>шагов</t>
  </si>
  <si>
    <t>Начальные условия:</t>
  </si>
  <si>
    <t>Дата:</t>
  </si>
  <si>
    <t>Тестировщик:</t>
  </si>
  <si>
    <t>Дефекты №:</t>
  </si>
  <si>
    <t>Статус:</t>
  </si>
  <si>
    <t>Тест-кейс для проверки возможности добавдения элементов в список</t>
  </si>
  <si>
    <t>Описание:</t>
  </si>
  <si>
    <t>№:</t>
  </si>
  <si>
    <t>Наименование:</t>
  </si>
  <si>
    <t>Создание нового группового чата</t>
  </si>
  <si>
    <t>Дягилев</t>
  </si>
  <si>
    <t>Пользователь авторизован. Клиент подключен к серверу (127.0.0.1:33333). [cite: 42, 111]</t>
  </si>
  <si>
    <t>В главном окне нажать кнопку  Создать чат</t>
  </si>
  <si>
    <t>Открыть выпадающий список чатов</t>
  </si>
  <si>
    <t>Отправляется системная команда CREATE_CHAT</t>
  </si>
  <si>
    <t>В списке появляется чатов появляется новый чат</t>
  </si>
  <si>
    <t>Пройден</t>
  </si>
  <si>
    <t>Сервер корректно создает запись в БД с типом 'group' и назначает создателя.</t>
  </si>
  <si>
    <t>В выпадающем списке выбрать чат с названием новый чат</t>
  </si>
  <si>
    <t>В списке чатов появляется новый чат</t>
  </si>
  <si>
    <t>Заголовок вверху окна и выбор в комбобоксе меняется на новый чат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</si>
</sst>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yy"/>
  </numFmts>
  <fonts count="5" x14ac:knownFonts="1">
    <font>
      <sz val="11"/>
      <color rgb="FF000000"/>
      <name val="Calibri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center"/>
    </xf>
    <xf numFmtId="0" fontId="2" fillId="2" borderId="8" xfId="0" applyFont="1" applyFill="1" applyBorder="1"/>
    <xf numFmtId="0" fontId="2" fillId="2" borderId="9" xfId="0" applyFont="1" applyFill="1" applyBorder="1"/>
    <xf numFmtId="0" fontId="2" fillId="2" borderId="10" xfId="0" applyFont="1" applyFill="1" applyBorder="1" applyAlignment="1">
      <alignment horizontal="center" textRotation="180"/>
    </xf>
    <xf numFmtId="0" fontId="2" fillId="2" borderId="10" xfId="0" applyFont="1" applyFill="1" applyBorder="1"/>
    <xf numFmtId="0" fontId="2" fillId="2" borderId="11" xfId="0" applyFont="1" applyFill="1" applyBorder="1" applyAlignment="1">
      <alignment horizontal="center" textRotation="180"/>
    </xf>
    <xf numFmtId="9" fontId="2" fillId="2" borderId="8" xfId="0" applyNumberFormat="1" applyFont="1" applyFill="1" applyBorder="1"/>
    <xf numFmtId="0" fontId="2" fillId="2" borderId="9" xfId="0" applyFont="1" applyFill="1" applyBorder="1" applyAlignment="1">
      <alignment horizontal="right"/>
    </xf>
    <xf numFmtId="0" fontId="2" fillId="2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right"/>
    </xf>
    <xf numFmtId="0" fontId="2" fillId="2" borderId="12" xfId="0" applyFont="1" applyFill="1" applyBorder="1"/>
    <xf numFmtId="0" fontId="2" fillId="2" borderId="13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4" xfId="0" applyFont="1" applyBorder="1"/>
    <xf numFmtId="0" fontId="0" fillId="0" borderId="14" xfId="0" applyBorder="1"/>
    <xf numFmtId="0" fontId="2" fillId="0" borderId="14" xfId="0" applyFont="1" applyBorder="1" applyAlignment="1">
      <alignment horizontal="center"/>
    </xf>
    <xf numFmtId="0" fontId="2" fillId="2" borderId="15" xfId="0" applyFont="1" applyFill="1" applyBorder="1" applyAlignment="1">
      <alignment horizontal="right"/>
    </xf>
    <xf numFmtId="0" fontId="2" fillId="2" borderId="16" xfId="0" applyFont="1" applyFill="1" applyBorder="1" applyAlignment="1">
      <alignment horizontal="center"/>
    </xf>
    <xf numFmtId="0" fontId="1" fillId="2" borderId="17" xfId="0" applyFont="1" applyFill="1" applyBorder="1"/>
    <xf numFmtId="164" fontId="1" fillId="0" borderId="18" xfId="0" applyNumberFormat="1" applyFont="1" applyBorder="1" applyAlignment="1">
      <alignment horizontal="center" wrapText="1"/>
    </xf>
    <xf numFmtId="0" fontId="2" fillId="2" borderId="19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1" fillId="0" borderId="20" xfId="0" applyFont="1" applyBorder="1" applyAlignment="1">
      <alignment horizontal="center" wrapText="1"/>
    </xf>
    <xf numFmtId="0" fontId="1" fillId="2" borderId="21" xfId="0" applyFont="1" applyFill="1" applyBorder="1"/>
    <xf numFmtId="0" fontId="1" fillId="0" borderId="3" xfId="0" applyFont="1" applyBorder="1" applyAlignment="1">
      <alignment wrapText="1"/>
    </xf>
    <xf numFmtId="0" fontId="2" fillId="2" borderId="22" xfId="0" applyFont="1" applyFill="1" applyBorder="1" applyAlignment="1">
      <alignment horizontal="right"/>
    </xf>
    <xf numFmtId="0" fontId="2" fillId="2" borderId="2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20" xfId="0" applyFont="1" applyBorder="1" applyAlignment="1">
      <alignment horizontal="left" vertical="top" wrapText="1"/>
    </xf>
    <xf numFmtId="0" fontId="1" fillId="2" borderId="1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3" fillId="0" borderId="25" xfId="0" applyFont="1" applyBorder="1"/>
    <xf numFmtId="0" fontId="2" fillId="2" borderId="27" xfId="0" applyFont="1" applyFill="1" applyBorder="1" applyAlignment="1">
      <alignment horizontal="right" vertical="top"/>
    </xf>
    <xf numFmtId="0" fontId="3" fillId="0" borderId="24" xfId="0" applyFont="1" applyBorder="1"/>
    <xf numFmtId="0" fontId="1" fillId="0" borderId="26" xfId="0" applyFont="1" applyBorder="1" applyAlignment="1">
      <alignment horizontal="left" vertical="top" wrapText="1"/>
    </xf>
    <xf numFmtId="0" fontId="3" fillId="0" borderId="4" xfId="0" applyFont="1" applyBorder="1"/>
    <xf numFmtId="0" fontId="4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83B41-BC77-4813-930F-9DB062B7EC4E}">
  <dimension ref="A1:H1000"/>
  <sheetViews>
    <sheetView tabSelected="1" zoomScale="70" zoomScaleNormal="70" workbookViewId="0">
      <selection activeCell="G14" sqref="G14"/>
    </sheetView>
  </sheetViews>
  <sheetFormatPr defaultColWidth="14.42578125" defaultRowHeight="15" customHeight="1" x14ac:dyDescent="0.25"/>
  <cols>
    <col min="1" max="1" width="8.7109375" customWidth="1"/>
    <col min="2" max="2" width="32.42578125" customWidth="1"/>
    <col min="3" max="3" width="35.5703125" customWidth="1"/>
    <col min="4" max="6" width="8.7109375" customWidth="1"/>
    <col min="7" max="7" width="28" customWidth="1"/>
    <col min="8" max="8" width="12.42578125" customWidth="1"/>
    <col min="9" max="26" width="8.7109375" customWidth="1"/>
  </cols>
  <sheetData>
    <row r="1" spans="1:8" x14ac:dyDescent="0.25">
      <c r="A1" s="44"/>
      <c r="B1" s="29" t="s">
        <v>20</v>
      </c>
      <c r="C1" s="43" t="s">
        <v>21</v>
      </c>
      <c r="D1" s="34"/>
      <c r="E1" s="33"/>
      <c r="F1" s="29" t="s">
        <v>19</v>
      </c>
      <c r="G1" s="42" t="str">
        <f ca="1">RIGHT(CELL("имяфайла",K1),LEN(CELL("имяфайла",K1))-SEARCH("]",CELL("имяфайла",K1)))</f>
        <v>Тест-кейс 1</v>
      </c>
      <c r="H1" s="31"/>
    </row>
    <row r="2" spans="1:8" x14ac:dyDescent="0.25">
      <c r="A2" s="45"/>
      <c r="B2" s="47" t="s">
        <v>18</v>
      </c>
      <c r="C2" s="49" t="s">
        <v>17</v>
      </c>
      <c r="D2" s="40"/>
      <c r="E2" s="39"/>
      <c r="F2" s="38" t="s">
        <v>16</v>
      </c>
      <c r="G2" s="41" t="s">
        <v>28</v>
      </c>
      <c r="H2" s="36"/>
    </row>
    <row r="3" spans="1:8" ht="15.75" thickBot="1" x14ac:dyDescent="0.3">
      <c r="A3" s="46"/>
      <c r="B3" s="48"/>
      <c r="C3" s="50"/>
      <c r="D3" s="40"/>
      <c r="E3" s="39"/>
      <c r="F3" s="38" t="s">
        <v>15</v>
      </c>
      <c r="G3" s="37"/>
      <c r="H3" s="36"/>
    </row>
    <row r="4" spans="1:8" x14ac:dyDescent="0.25">
      <c r="A4" s="30"/>
      <c r="B4" s="29" t="s">
        <v>14</v>
      </c>
      <c r="C4" s="35" t="s">
        <v>22</v>
      </c>
      <c r="D4" s="34"/>
      <c r="E4" s="33"/>
      <c r="F4" s="29" t="s">
        <v>13</v>
      </c>
      <c r="G4" s="32">
        <v>46128</v>
      </c>
      <c r="H4" s="31"/>
    </row>
    <row r="5" spans="1:8" ht="15.75" thickBot="1" x14ac:dyDescent="0.3">
      <c r="A5" s="24"/>
      <c r="B5" s="22"/>
      <c r="C5" s="22"/>
      <c r="D5" s="23"/>
      <c r="E5" s="23"/>
      <c r="F5" s="23"/>
      <c r="G5" s="22"/>
      <c r="H5" s="22"/>
    </row>
    <row r="6" spans="1:8" x14ac:dyDescent="0.25">
      <c r="A6" s="30"/>
      <c r="B6" s="29" t="s">
        <v>12</v>
      </c>
      <c r="C6" s="26"/>
      <c r="D6" s="28"/>
      <c r="E6" s="27"/>
      <c r="F6" s="27"/>
      <c r="G6" s="27"/>
      <c r="H6" s="26"/>
    </row>
    <row r="7" spans="1:8" ht="45" x14ac:dyDescent="0.25">
      <c r="A7" s="24"/>
      <c r="B7" s="51" t="s">
        <v>23</v>
      </c>
      <c r="C7" s="2"/>
      <c r="D7" s="25"/>
      <c r="G7" s="51" t="s">
        <v>29</v>
      </c>
      <c r="H7" s="22"/>
    </row>
    <row r="8" spans="1:8" x14ac:dyDescent="0.25">
      <c r="A8" s="24"/>
      <c r="B8" s="22"/>
      <c r="C8" s="22"/>
      <c r="D8" s="23"/>
      <c r="H8" s="22"/>
    </row>
    <row r="9" spans="1:8" ht="15.75" thickBot="1" x14ac:dyDescent="0.3">
      <c r="A9" s="24"/>
      <c r="B9" s="22"/>
      <c r="C9" s="22"/>
      <c r="D9" s="23"/>
      <c r="E9" s="23"/>
      <c r="F9" s="23"/>
      <c r="G9" s="22"/>
      <c r="H9" s="22"/>
    </row>
    <row r="10" spans="1:8" ht="15.75" thickBot="1" x14ac:dyDescent="0.3">
      <c r="A10" s="21">
        <f>COUNTA(A12:A27)</f>
        <v>3</v>
      </c>
      <c r="B10" s="20" t="s">
        <v>11</v>
      </c>
      <c r="C10" s="19" t="s">
        <v>10</v>
      </c>
      <c r="D10" s="18">
        <f>COUNTIF(D12:D27,"x")</f>
        <v>3</v>
      </c>
      <c r="E10" s="18">
        <f>COUNTIF(E12:E27,"x")</f>
        <v>0</v>
      </c>
      <c r="F10" s="18">
        <f>COUNTIF(F12:F27,"x")</f>
        <v>0</v>
      </c>
      <c r="G10" s="17" t="s">
        <v>9</v>
      </c>
      <c r="H10" s="16">
        <f>(D10+E10+F10)/A10</f>
        <v>1</v>
      </c>
    </row>
    <row r="11" spans="1:8" ht="25.5" thickBot="1" x14ac:dyDescent="0.3">
      <c r="A11" s="15" t="s">
        <v>8</v>
      </c>
      <c r="B11" s="14" t="s">
        <v>7</v>
      </c>
      <c r="C11" s="14" t="s">
        <v>6</v>
      </c>
      <c r="D11" s="13" t="s">
        <v>5</v>
      </c>
      <c r="E11" s="13" t="s">
        <v>4</v>
      </c>
      <c r="F11" s="13" t="s">
        <v>3</v>
      </c>
      <c r="G11" s="12" t="s">
        <v>2</v>
      </c>
      <c r="H11" s="11" t="s">
        <v>1</v>
      </c>
    </row>
    <row r="12" spans="1:8" ht="30" x14ac:dyDescent="0.25">
      <c r="A12" s="10">
        <v>1</v>
      </c>
      <c r="B12" s="51" t="s">
        <v>24</v>
      </c>
      <c r="C12" s="9" t="s">
        <v>26</v>
      </c>
      <c r="D12" s="5" t="s">
        <v>0</v>
      </c>
      <c r="E12" s="5"/>
      <c r="F12" s="5"/>
      <c r="G12" s="9" t="s">
        <v>26</v>
      </c>
      <c r="H12" s="8"/>
    </row>
    <row r="13" spans="1:8" ht="25.5" x14ac:dyDescent="0.25">
      <c r="A13" s="7">
        <f>A12 + 1</f>
        <v>2</v>
      </c>
      <c r="B13" s="6" t="s">
        <v>25</v>
      </c>
      <c r="C13" s="6" t="s">
        <v>31</v>
      </c>
      <c r="D13" s="5" t="s">
        <v>0</v>
      </c>
      <c r="E13" s="4"/>
      <c r="F13" s="4"/>
      <c r="G13" s="6" t="s">
        <v>27</v>
      </c>
      <c r="H13" s="3"/>
    </row>
    <row r="14" spans="1:8" ht="38.25" x14ac:dyDescent="0.25">
      <c r="A14" s="7">
        <f>A13 + 1</f>
        <v>3</v>
      </c>
      <c r="B14" s="6" t="s">
        <v>30</v>
      </c>
      <c r="C14" s="6" t="s">
        <v>32</v>
      </c>
      <c r="D14" s="5" t="s">
        <v>0</v>
      </c>
      <c r="E14" s="4"/>
      <c r="F14" s="4"/>
      <c r="G14" s="6" t="s">
        <v>32</v>
      </c>
      <c r="H14" s="3"/>
    </row>
    <row r="16" spans="1:8" x14ac:dyDescent="0.25">
      <c r="B16" s="2"/>
      <c r="C16" s="1"/>
    </row>
    <row r="17" spans="3:3" x14ac:dyDescent="0.25">
      <c r="C17" s="1"/>
    </row>
    <row r="18" spans="3:3" x14ac:dyDescent="0.25">
      <c r="C18" s="1"/>
    </row>
    <row r="19" spans="3:3" x14ac:dyDescent="0.25">
      <c r="C19" s="1"/>
    </row>
    <row r="20" spans="3:3" x14ac:dyDescent="0.25">
      <c r="C20" s="1"/>
    </row>
    <row r="21" spans="3:3" ht="15.75" customHeight="1" x14ac:dyDescent="0.25">
      <c r="C21" s="1"/>
    </row>
    <row r="22" spans="3:3" ht="15.75" customHeight="1" x14ac:dyDescent="0.25">
      <c r="C22" s="1"/>
    </row>
    <row r="23" spans="3:3" ht="15.75" customHeight="1" x14ac:dyDescent="0.25">
      <c r="C23" s="1"/>
    </row>
    <row r="24" spans="3:3" ht="15.75" customHeight="1" x14ac:dyDescent="0.25">
      <c r="C24" s="1"/>
    </row>
    <row r="25" spans="3:3" ht="15.75" customHeight="1" x14ac:dyDescent="0.25">
      <c r="C25" s="1"/>
    </row>
    <row r="26" spans="3:3" ht="15.75" customHeight="1" x14ac:dyDescent="0.25">
      <c r="C26" s="1"/>
    </row>
    <row r="27" spans="3:3" ht="15.75" customHeight="1" x14ac:dyDescent="0.25">
      <c r="C27" s="1"/>
    </row>
    <row r="28" spans="3:3" ht="15.75" customHeight="1" x14ac:dyDescent="0.25">
      <c r="C28" s="1"/>
    </row>
    <row r="29" spans="3:3" ht="15.75" customHeight="1" x14ac:dyDescent="0.25">
      <c r="C29" s="1"/>
    </row>
    <row r="30" spans="3:3" ht="15.75" customHeight="1" x14ac:dyDescent="0.25">
      <c r="C30" s="1"/>
    </row>
    <row r="31" spans="3:3" ht="15.75" customHeight="1" x14ac:dyDescent="0.25">
      <c r="C31" s="1"/>
    </row>
    <row r="32" spans="3:3" ht="15.75" customHeight="1" x14ac:dyDescent="0.25">
      <c r="C32" s="1"/>
    </row>
    <row r="33" spans="3:3" ht="15.75" customHeight="1" x14ac:dyDescent="0.25">
      <c r="C33" s="1"/>
    </row>
    <row r="34" spans="3:3" ht="15.75" customHeight="1" x14ac:dyDescent="0.25">
      <c r="C34" s="1"/>
    </row>
    <row r="35" spans="3:3" ht="15.75" customHeight="1" x14ac:dyDescent="0.25"/>
    <row r="36" spans="3:3" ht="15.75" customHeight="1" x14ac:dyDescent="0.25"/>
    <row r="37" spans="3:3" ht="15.75" customHeight="1" x14ac:dyDescent="0.25"/>
    <row r="38" spans="3:3" ht="15.75" customHeight="1" x14ac:dyDescent="0.25"/>
    <row r="39" spans="3:3" ht="15.75" customHeight="1" x14ac:dyDescent="0.25"/>
    <row r="40" spans="3:3" ht="15.75" customHeight="1" x14ac:dyDescent="0.25"/>
    <row r="41" spans="3:3" ht="15.75" customHeight="1" x14ac:dyDescent="0.25"/>
    <row r="42" spans="3:3" ht="15.75" customHeight="1" x14ac:dyDescent="0.25"/>
    <row r="43" spans="3:3" ht="15.75" customHeight="1" x14ac:dyDescent="0.25"/>
    <row r="44" spans="3:3" ht="15.75" customHeight="1" x14ac:dyDescent="0.25"/>
    <row r="45" spans="3:3" ht="15.75" customHeight="1" x14ac:dyDescent="0.25"/>
    <row r="46" spans="3:3" ht="15.75" customHeight="1" x14ac:dyDescent="0.25"/>
    <row r="47" spans="3:3" ht="15.75" customHeight="1" x14ac:dyDescent="0.25"/>
    <row r="48" spans="3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2:A3"/>
    <mergeCell ref="B2:B3"/>
    <mergeCell ref="C2:C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Тест-кейс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2026-04-16T09:49:08Z</dcterms:created>
  <dcterms:modified xsi:type="dcterms:W3CDTF">2026-04-16T11:00:32Z</dcterms:modified>
</cp:coreProperties>
</file>